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firstSheet="2" activeTab="1"/>
  </bookViews>
  <sheets>
    <sheet name="区间测算器" sheetId="1" r:id="rId1"/>
    <sheet name="产品产量检查" sheetId="4" r:id="rId2"/>
    <sheet name="阈值字典" sheetId="2" r:id="rId3"/>
    <sheet name="使用说明" sheetId="3" r:id="rId4"/>
  </sheets>
  <calcPr calcId="144525"/>
</workbook>
</file>

<file path=xl/sharedStrings.xml><?xml version="1.0" encoding="utf-8"?>
<sst xmlns="http://schemas.openxmlformats.org/spreadsheetml/2006/main" count="252">
  <si>
    <t>月度产值可动区间测算器（B204-1/205-1审核口径）</t>
  </si>
  <si>
    <t>说明：B列输入区（第5~16行）填企业数据，其余自动计算。单位：万元（报表单位千元，1万元=10千元）。</t>
  </si>
  <si>
    <t>企业名称（选填）</t>
  </si>
  <si>
    <t>【输入区】指标</t>
  </si>
  <si>
    <t>数值</t>
  </si>
  <si>
    <t>口径说明</t>
  </si>
  <si>
    <t>本期月产值（基准数；只查拟报数可不填）</t>
  </si>
  <si>
    <t>如报9月填9月当月；用于"累计不动"±5%边界与衔接核对</t>
  </si>
  <si>
    <t>去年同月产值（上年同期）</t>
  </si>
  <si>
    <t>如报9月填上年9月当月；系统已复制，不可修改</t>
  </si>
  <si>
    <t>前三月·最早月（-3个月）</t>
  </si>
  <si>
    <t>如报9月填6月当月（往前数第三个月；无数据可留空）</t>
  </si>
  <si>
    <t>前三月·次月（-2个月）</t>
  </si>
  <si>
    <t>如报9月填7月当月（往前数第二个月）</t>
  </si>
  <si>
    <t>前三月·上月（-1个月）</t>
  </si>
  <si>
    <t>如报9月填8月当月（上个月）</t>
  </si>
  <si>
    <t>上月行业小类行产值（没有可留空）</t>
  </si>
  <si>
    <t>如报9月填8月该行业行的当月值；无此值留空，该条自动跳过</t>
  </si>
  <si>
    <t>本期真实销售产值</t>
  </si>
  <si>
    <t>如报9月填9月当月（不是累计）</t>
  </si>
  <si>
    <t>去年同月销售产值</t>
  </si>
  <si>
    <t>如报9月填上年9月当月</t>
  </si>
  <si>
    <t>上月止累计产值（填1-上月，如报9月填1-8）</t>
  </si>
  <si>
    <t>如报9月填1-8（上月报表的"1-本月"数，别填成上月单月）；本月累计=上月止累计+本月</t>
  </si>
  <si>
    <t>用电当月同比%（仅万吨企业填）</t>
  </si>
  <si>
    <t>当月比当月；如 -5 表示下降5%；没有可留空</t>
  </si>
  <si>
    <t>是否万吨用能企业（是=1，否=0）</t>
  </si>
  <si>
    <t>综合能耗≥1万吨标煤填1，其他填0</t>
  </si>
  <si>
    <t>往期参考上限（如已知，万元；留空=未知）</t>
  </si>
  <si>
    <t/>
  </si>
  <si>
    <t>系统内部参考值，一般未知；拿不到就留空</t>
  </si>
  <si>
    <t>【约束清单】监控维度</t>
  </si>
  <si>
    <t>规则编号</t>
  </si>
  <si>
    <t>免触发上界（万元）</t>
  </si>
  <si>
    <t>免触发下界（万元）</t>
  </si>
  <si>
    <t>类别</t>
  </si>
  <si>
    <t>拟报数检查</t>
  </si>
  <si>
    <t>触发条件/说明</t>
  </si>
  <si>
    <t>单月产值增速组合</t>
  </si>
  <si>
    <t>C07001</t>
  </si>
  <si>
    <t>C类说明</t>
  </si>
  <si>
    <t>高于"前三月平均×1.05"且高于"去年同月×1.3"（两条都超才触发）；免触发上界=两者较高值</t>
  </si>
  <si>
    <t>产值同比≤300%</t>
  </si>
  <si>
    <t>C07002</t>
  </si>
  <si>
    <t>本月≥去年同月×4 触发</t>
  </si>
  <si>
    <t>行业小类月环比</t>
  </si>
  <si>
    <t>C02013/14</t>
  </si>
  <si>
    <t>行业行应在上月0.5~1.8倍之间（调增须与分行业行同步修改）</t>
  </si>
  <si>
    <t>产销率（销售不同步调整）</t>
  </si>
  <si>
    <t>C03001/05</t>
  </si>
  <si>
    <t>70%~130%：产值≤销售/0.7，且≥销售/1.3</t>
  </si>
  <si>
    <t>销售同步调整时（同比口径）</t>
  </si>
  <si>
    <t>C30003/04</t>
  </si>
  <si>
    <t>销售同比 -70%~+30%（体量&gt;1000万、非新入库企业时查）</t>
  </si>
  <si>
    <t>累计衔接（累计不随调整）</t>
  </si>
  <si>
    <t>C04001</t>
  </si>
  <si>
    <t>—</t>
  </si>
  <si>
    <t>默认按"累计同步调整"理解：1-本月累计=上月止累计+本月（拟报后累计=B13+B35）；同步即自动满足本条。如需查看"累计不动"的±5%限制，请用网页版把"累计是否同步调整"选为"否"。</t>
  </si>
  <si>
    <t>万吨企业电力联动</t>
  </si>
  <si>
    <t>B11550</t>
  </si>
  <si>
    <t>B类解锁</t>
  </si>
  <si>
    <t>|产值当月同比-用电当月同比|&lt;20个百分点；非万吨不适用</t>
  </si>
  <si>
    <t>往期对比"过高"</t>
  </si>
  <si>
    <t>B00009-14</t>
  </si>
  <si>
    <t>高于系统内部参考值触发（参考值与企业往期报数有关，一般未知）</t>
  </si>
  <si>
    <t>硬性关系（必满足）</t>
  </si>
  <si>
    <t>A类/B类</t>
  </si>
  <si>
    <t>A类硬卡</t>
  </si>
  <si>
    <t>产值=分行业之和（A类不可解锁）；同期数不可改（A类）；累计≥当月、当月≠累计、累计≥上期</t>
  </si>
  <si>
    <t>【测算结果】</t>
  </si>
  <si>
    <t>区间下限（万元）</t>
  </si>
  <si>
    <t>取所有约束下界的最大值</t>
  </si>
  <si>
    <t>区间上限（万元）</t>
  </si>
  <si>
    <t>取所有约束上界的最小值</t>
  </si>
  <si>
    <t>可动区间</t>
  </si>
  <si>
    <t>区间内：不触发任何说明/解锁（最安全口径）</t>
  </si>
  <si>
    <t>可动区间（推荐口径）</t>
  </si>
  <si>
    <t>去除"累计衔接"约束后的区间（实务常用口径）</t>
  </si>
  <si>
    <t>【拟报数检查】拟报数（万元）</t>
  </si>
  <si>
    <t>填入拟调整后的数，查看会触发哪些条款（见F列）</t>
  </si>
  <si>
    <t>结论（按保守口径口径1判断）</t>
  </si>
  <si>
    <t>检查用数值（未填拟报数时自动取本期月产值）</t>
  </si>
  <si>
    <t>提示</t>
  </si>
  <si>
    <t>1、区间随锚点数据（上月、前三、去年同月、用电等）滚动变化，每月需重算；仅作预判与备料用途。</t>
  </si>
  <si>
    <t>2、"未触发"不等于可以调整：统计数据应据实填报；超出区间的调整需逐条准备说明/凭证，由统计机构按权限解锁。</t>
  </si>
  <si>
    <t>3、本表覆盖公式类审核；上级汇总、督察、外部数据比对（用电、纳税）不在此模型内。</t>
  </si>
  <si>
    <t>4、某项数据没有（如企业无上月行业行值）可留空，对应约束自动跳过。</t>
  </si>
  <si>
    <t>【累计产值检查（可留空；对应 C30001 / C30002）】</t>
  </si>
  <si>
    <t>本表累计产值（1-本月，真实，万元）</t>
  </si>
  <si>
    <t>如报9月填1-9</t>
  </si>
  <si>
    <t>去年同期累计产值（[01,4]，万元）</t>
  </si>
  <si>
    <t>如报9月填上年1-9</t>
  </si>
  <si>
    <t>C30001 当月上界（=去年同月÷0.7）</t>
  </si>
  <si>
    <t>C30002 累计上界（=去年同期累计÷0.7）</t>
  </si>
  <si>
    <t>C30002 等效本月上界（=累计上界−真实累计+真实本月）</t>
  </si>
  <si>
    <t>提示：默认按"累计同步调整"口径（1-本月累计=上月止累计+本月）；C30001/C30002触发时为核实性（写说明），以系统实际为准。</t>
  </si>
  <si>
    <t>拟报后累计（=上月止累计+拟报数）</t>
  </si>
  <si>
    <t>拟报后累计同比%</t>
  </si>
  <si>
    <t>真实数据衔接核对（本月累计 vs 上月止累计+本月真实）</t>
  </si>
  <si>
    <t>提示：本月累计=上月止累计+本月；累计同步调整时 C04001 自动满足，无需额外说明。</t>
  </si>
  <si>
    <t>产品产量检查（需填报产品产量的企业使用；不需要的企业可忽略本页）</t>
  </si>
  <si>
    <t>说明：B5填"0"（不需要填报）则整页显示"不适用"；产品数据按《规模以上工业产品产量目录》口径填写。</t>
  </si>
  <si>
    <t>说明</t>
  </si>
  <si>
    <t>是否需要填报产品产量（是=1，否=0）</t>
  </si>
  <si>
    <t>产品本月产量</t>
  </si>
  <si>
    <t>如报9月填9月当月</t>
  </si>
  <si>
    <t>产品1-本月累计产量</t>
  </si>
  <si>
    <t>如报9月填1-9月累计</t>
  </si>
  <si>
    <t>产品去年同月产量（同期本月）</t>
  </si>
  <si>
    <t>产品上月止累计产量</t>
  </si>
  <si>
    <t>如报9月填1-8月累计</t>
  </si>
  <si>
    <t>【检查结果】检查点</t>
  </si>
  <si>
    <t>结果</t>
  </si>
  <si>
    <t>计算明细</t>
  </si>
  <si>
    <t>触发后处理</t>
  </si>
  <si>
    <t>产品产量同比异常</t>
  </si>
  <si>
    <t>C30007/08</t>
  </si>
  <si>
    <t>可上报，需写说明。阈值：同比&gt;+30%或&lt;-70%（本期+同期&gt;1000时查）</t>
  </si>
  <si>
    <t>产品累计衔接（±8%）</t>
  </si>
  <si>
    <t>C04005</t>
  </si>
  <si>
    <t>可上报，需写说明（建议累计同步调整）</t>
  </si>
  <si>
    <t>产品累计≥当月</t>
  </si>
  <si>
    <t>B00030</t>
  </si>
  <si>
    <t>拦截→备凭证→统计机构解锁后上报</t>
  </si>
  <si>
    <t>产品本月≠累计（6月起）</t>
  </si>
  <si>
    <t>B00034</t>
  </si>
  <si>
    <t>拦截→备凭证→解锁（防把累计当本月）</t>
  </si>
  <si>
    <t>产品累计≥上期累计</t>
  </si>
  <si>
    <t>C01005</t>
  </si>
  <si>
    <t>可上报，需写说明</t>
  </si>
  <si>
    <t>产品与总产值数值一致</t>
  </si>
  <si>
    <t>C02007</t>
  </si>
  <si>
    <t>数值完全相同疑似复制，需核实说明</t>
  </si>
  <si>
    <t>其他产品类条款（提示）</t>
  </si>
  <si>
    <t>关系式88组(B类解锁)；单产品上限599条(B类解锁)；产品-行业联动602条(C类)；部分产品须整数(A类)；漏报同期(C类)</t>
  </si>
  <si>
    <t>提示：系统内置的产品关系式与单产品上限无法预知，触发时以系统实际提示为准。</t>
  </si>
  <si>
    <t>产值增减"游戏规则"——阈值字典（双向）</t>
  </si>
  <si>
    <t>说明：本表为B204-1、205-1审核公式提炼的触发条件与免触发区间；上界/下界均锚定企业自身数据。</t>
  </si>
  <si>
    <t>序号</t>
  </si>
  <si>
    <t>监控维度</t>
  </si>
  <si>
    <t>调增方向（超过上界触发）</t>
  </si>
  <si>
    <t>调减方向（低于下界触发）</t>
  </si>
  <si>
    <t>免触发区间</t>
  </si>
  <si>
    <t>分行业平衡</t>
  </si>
  <si>
    <t>必须=分行业小类之和（任何方向不可偏离）</t>
  </si>
  <si>
    <t>同左</t>
  </si>
  <si>
    <t>完全相等</t>
  </si>
  <si>
    <t>A类</t>
  </si>
  <si>
    <t>无法上报，必须改对（不可解锁）</t>
  </si>
  <si>
    <t>A20001-A20004</t>
  </si>
  <si>
    <t>上年同期数</t>
  </si>
  <si>
    <t>不可修改（国家统一复制）</t>
  </si>
  <si>
    <t>与上年上报一致</t>
  </si>
  <si>
    <t>点初始化；仍不一致联系统计机构</t>
  </si>
  <si>
    <t>A00001-A00008</t>
  </si>
  <si>
    <t>产销率</t>
  </si>
  <si>
    <t>产值高于 销售/0.7（产销率&lt;70%）触发</t>
  </si>
  <si>
    <t>产值低于 销售/1.3（产销率&gt;130%）触发</t>
  </si>
  <si>
    <t>销售/1.3 ≤ 产值 ≤ 销售/0.7</t>
  </si>
  <si>
    <t>C类</t>
  </si>
  <si>
    <t>写说明</t>
  </si>
  <si>
    <t>C03001-C03008</t>
  </si>
  <si>
    <t>单月增速组合</t>
  </si>
  <si>
    <t>本月&gt;前三月平均×1.05 且 &gt;去年同月×1.3（双超）</t>
  </si>
  <si>
    <t>无对应条款</t>
  </si>
  <si>
    <t>≤上述两条线中较高者</t>
  </si>
  <si>
    <t>产值同比</t>
  </si>
  <si>
    <t>≥去年同月×4（+300%）</t>
  </si>
  <si>
    <t>同比&lt;300%</t>
  </si>
  <si>
    <t>销售产值同比</t>
  </si>
  <si>
    <t>&gt;+30%</t>
  </si>
  <si>
    <t>&lt;-70%</t>
  </si>
  <si>
    <t>-70%~+30%（体量&gt;1000万时）</t>
  </si>
  <si>
    <t>C30003/C30004</t>
  </si>
  <si>
    <t>出口交货值同比</t>
  </si>
  <si>
    <t>同上</t>
  </si>
  <si>
    <t>C30005/C30006</t>
  </si>
  <si>
    <t>&gt;上月×1.8</t>
  </si>
  <si>
    <t>&lt;上月×0.5</t>
  </si>
  <si>
    <t>0.5~1.8倍上月</t>
  </si>
  <si>
    <t>C02013/C02014</t>
  </si>
  <si>
    <t>累计与当月衔接</t>
  </si>
  <si>
    <t>｜累计-本月-上月累计｜&gt;本月×5%（双向）</t>
  </si>
  <si>
    <t>衔接差≤5%（或累计同步调整）</t>
  </si>
  <si>
    <t>C04001-C04003</t>
  </si>
  <si>
    <t>累计不得回落</t>
  </si>
  <si>
    <t>累计&lt;上月止累计</t>
  </si>
  <si>
    <t>累计≥上月累计（只增不减）</t>
  </si>
  <si>
    <t>C01001-C01003</t>
  </si>
  <si>
    <t>累计≥当月、≥上期</t>
  </si>
  <si>
    <t>累计&lt;当月（或低于上期）</t>
  </si>
  <si>
    <t>累计≥当月</t>
  </si>
  <si>
    <t>B类</t>
  </si>
  <si>
    <t>解锁后上报</t>
  </si>
  <si>
    <t>B00021-B00026</t>
  </si>
  <si>
    <t>超过系统内部参考值（企业往期报数推算）</t>
  </si>
  <si>
    <t>无对应条款（只查"过高"）</t>
  </si>
  <si>
    <t>不超过参考值</t>
  </si>
  <si>
    <t>凭证材料+解锁</t>
  </si>
  <si>
    <t>B00009-B00014</t>
  </si>
  <si>
    <t>本月=累计完全一致</t>
  </si>
  <si>
    <t>本月=累计（6月起严查）</t>
  </si>
  <si>
    <t>本月&lt;累计（正常月份）</t>
  </si>
  <si>
    <t>B类/C类</t>
  </si>
  <si>
    <t>说明或解锁</t>
  </si>
  <si>
    <t>B00032-B00035</t>
  </si>
  <si>
    <t>★万吨企业电力联动</t>
  </si>
  <si>
    <t>产值同比-用电同比≥+20个百分点</t>
  </si>
  <si>
    <t>差异≤-20个百分点</t>
  </si>
  <si>
    <t>两个增速差&lt;20个百分点</t>
  </si>
  <si>
    <t>"准确详细说明"+解锁</t>
  </si>
  <si>
    <t>B11550（205-1表）</t>
  </si>
  <si>
    <t>产值异常（凭证类）</t>
  </si>
  <si>
    <t>系统标记异常情形</t>
  </si>
  <si>
    <t>准备详细凭证→核实解锁</t>
  </si>
  <si>
    <t>B00003</t>
  </si>
  <si>
    <t>产品产量（若同步调产量）</t>
  </si>
  <si>
    <t>产品关系式不符；超单产上限</t>
  </si>
  <si>
    <t>同上双向</t>
  </si>
  <si>
    <t>关系式成立、低于上限</t>
  </si>
  <si>
    <t>解锁</t>
  </si>
  <si>
    <t>B1-B4、B5系列</t>
  </si>
  <si>
    <t>产品产量同比</t>
  </si>
  <si>
    <t>-70%~+30%</t>
  </si>
  <si>
    <t>C30007/C30008</t>
  </si>
  <si>
    <t>产值/累计与去年差距</t>
  </si>
  <si>
    <t>C30001（当月）：本月≥去年同月÷0.7（约1.43倍）触发；C30002（累计）：1-本月累计≥去年同期累计÷0.7触发</t>
  </si>
  <si>
    <t>—（只查偏高）</t>
  </si>
  <si>
    <t>低于约1.43倍线</t>
  </si>
  <si>
    <t>C30001/C30002</t>
  </si>
  <si>
    <t>清单之外</t>
  </si>
  <si>
    <t>上级汇总波动、督察执法、用电/纳税等外部比对（不设公开阈值）</t>
  </si>
  <si>
    <t>无法通过公式层面解决</t>
  </si>
  <si>
    <t>使用说明</t>
  </si>
  <si>
    <t>一、这个测算器回答什么问题</t>
  </si>
  <si>
    <t>任意一个月，企业本月产值在"不需要写说明、不需要解锁"前提下的可动区间——上界取所有约束中最小的那条线，下界取最大的那条线。</t>
  </si>
  <si>
    <t>二、怎么用</t>
  </si>
  <si>
    <t>第1步：把输入区12项数据填齐（真实口径）。</t>
  </si>
  <si>
    <t>第2步：看"测算结果"两个口径的区间（口径1=累计不动：最保守；口径2=累计同步调整：实务常用）。</t>
  </si>
  <si>
    <t>第3步：把拟报数填入"拟报数检查"（B35），看F列哪些条款"触发"及类别（C类=写说明；B类=解锁）。</t>
  </si>
  <si>
    <t>三、三个必须知道的特点</t>
  </si>
  <si>
    <t>1. 区间是"锚定"的：由企业自身数据（上月、前三月、去年同月、销售、用电）算出，不是想定多少定多少。</t>
  </si>
  <si>
    <t>2. 区间是"滚动"的：每月锚点变化，区间随之平移，不能沿用上个月。</t>
  </si>
  <si>
    <t>3. 区间是"工程边界"不是"政策许可"：区间内不触发只是无需额外说明；数据真实性是法定要求，超出区间的调整要付出说明/解锁代价并留痕。</t>
  </si>
  <si>
    <t>四、常见边界（速记）</t>
  </si>
  <si>
    <t>· 单月增速组合：超过"前三月平均×1.05"和"去年同月×1.3"里较高的一条（且两条都超）才触发说明。</t>
  </si>
  <si>
    <t>· 行业行环比：不得超上月1.8倍、不得低于0.5倍。</t>
  </si>
  <si>
    <t>· 产销率：70%~130%。</t>
  </si>
  <si>
    <t>· 累计：容差5%且只增不减。</t>
  </si>
  <si>
    <t>· 万吨企业：产值增速与用电增速差&lt;20个百分点。</t>
  </si>
  <si>
    <t>· 销售同比：-70%~+30%。</t>
  </si>
  <si>
    <t>五、"产品产量检查"页：需要填报产品产量的企业填写；B5选"否"（0）则整页不适用。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</si>
</sst>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&quot;%&quot;"/>
    <numFmt numFmtId="177" formatCode="0.0"/>
  </numFmts>
  <fonts count="25"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5"/>
      <color rgb="FF17365D"/>
      <name val="宋体"/>
      <charset val="134"/>
      <scheme val="minor"/>
    </font>
    <font>
      <i/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0" fillId="18" borderId="4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7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21" fillId="23" borderId="8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5">
    <xf numFmtId="0" fontId="0" fillId="0" borderId="0" xfId="0" applyNumberFormat="1"/>
    <xf numFmtId="0" fontId="1" fillId="0" borderId="0" xfId="0" applyNumberFormat="1" applyFont="1"/>
    <xf numFmtId="0" fontId="2" fillId="2" borderId="1" xfId="0" applyNumberFormat="1" applyFont="1" applyFill="1" applyBorder="1" applyAlignment="1">
      <alignment wrapText="1"/>
    </xf>
    <xf numFmtId="0" fontId="0" fillId="0" borderId="1" xfId="0" applyNumberFormat="1" applyBorder="1" applyAlignment="1">
      <alignment wrapText="1"/>
    </xf>
    <xf numFmtId="0" fontId="2" fillId="2" borderId="1" xfId="0" applyNumberFormat="1" applyFont="1" applyFill="1" applyBorder="1"/>
    <xf numFmtId="0" fontId="0" fillId="0" borderId="1" xfId="0" applyNumberFormat="1" applyBorder="1"/>
    <xf numFmtId="0" fontId="0" fillId="3" borderId="1" xfId="0" applyNumberFormat="1" applyFill="1" applyBorder="1"/>
    <xf numFmtId="0" fontId="3" fillId="0" borderId="0" xfId="0" applyNumberFormat="1" applyFont="1"/>
    <xf numFmtId="0" fontId="4" fillId="0" borderId="0" xfId="0" applyNumberFormat="1" applyFont="1"/>
    <xf numFmtId="0" fontId="0" fillId="0" borderId="0" xfId="0" applyNumberFormat="1" applyAlignment="1">
      <alignment wrapText="1"/>
    </xf>
    <xf numFmtId="177" fontId="0" fillId="0" borderId="1" xfId="0" applyNumberFormat="1" applyBorder="1"/>
    <xf numFmtId="0" fontId="2" fillId="0" borderId="1" xfId="0" applyNumberFormat="1" applyFont="1" applyBorder="1" applyAlignment="1">
      <alignment wrapText="1"/>
    </xf>
    <xf numFmtId="0" fontId="2" fillId="0" borderId="0" xfId="0" applyNumberFormat="1" applyFont="1"/>
    <xf numFmtId="0" fontId="2" fillId="0" borderId="1" xfId="0" applyNumberFormat="1" applyFont="1" applyBorder="1"/>
    <xf numFmtId="176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5">
    <dxf>
      <font>
        <b val="1"/>
        <color rgb="FFB2261E"/>
      </font>
      <fill>
        <patternFill patternType="solid">
          <bgColor rgb="FFFDECEA"/>
        </patternFill>
      </fill>
    </dxf>
    <dxf>
      <font>
        <color rgb="FF1E7B34"/>
      </font>
      <fill>
        <patternFill patternType="solid">
          <bgColor rgb="FFEAF5EE"/>
        </patternFill>
      </fill>
    </dxf>
    <dxf>
      <font>
        <color rgb="FFB25E00"/>
      </font>
      <fill>
        <patternFill patternType="solid">
          <bgColor rgb="FFFFF3E0"/>
        </patternFill>
      </fill>
    </dxf>
    <dxf>
      <font>
        <color rgb="FF666666"/>
      </font>
    </dxf>
    <dxf>
      <font>
        <color rgb="FFB25E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B6CB0"/>
  </sheetPr>
  <dimension ref="A1:G54"/>
  <sheetViews>
    <sheetView workbookViewId="0">
      <selection activeCell="A1" sqref="A1"/>
    </sheetView>
  </sheetViews>
  <sheetFormatPr defaultColWidth="9" defaultRowHeight="14.25" outlineLevelCol="6"/>
  <cols>
    <col min="1" max="1" width="40.625" customWidth="1"/>
    <col min="2" max="2" width="24.625" customWidth="1"/>
    <col min="3" max="3" width="26.625" customWidth="1"/>
    <col min="4" max="4" width="15.625" customWidth="1"/>
    <col min="5" max="6" width="10.625" customWidth="1"/>
    <col min="7" max="7" width="62.625" customWidth="1"/>
  </cols>
  <sheetData>
    <row r="1" ht="19.5" spans="1:1">
      <c r="A1" s="7" t="s">
        <v>0</v>
      </c>
    </row>
    <row r="2" spans="1:1">
      <c r="A2" s="8" t="s">
        <v>1</v>
      </c>
    </row>
    <row r="3" spans="1:2">
      <c r="A3" s="5" t="s">
        <v>2</v>
      </c>
      <c r="B3" s="6"/>
    </row>
    <row r="4" spans="1:7">
      <c r="A4" s="4" t="s">
        <v>3</v>
      </c>
      <c r="B4" s="4" t="s">
        <v>4</v>
      </c>
      <c r="C4" s="4" t="s">
        <v>5</v>
      </c>
      <c r="D4" s="4"/>
      <c r="E4" s="4"/>
      <c r="F4" s="4"/>
      <c r="G4" s="4"/>
    </row>
    <row r="5" spans="1:7">
      <c r="A5" s="3" t="s">
        <v>6</v>
      </c>
      <c r="B5" s="6">
        <v>1430</v>
      </c>
      <c r="C5" s="5" t="s">
        <v>7</v>
      </c>
      <c r="D5" s="5"/>
      <c r="E5" s="5"/>
      <c r="F5" s="5"/>
      <c r="G5" s="3"/>
    </row>
    <row r="6" spans="1:7">
      <c r="A6" s="3" t="s">
        <v>8</v>
      </c>
      <c r="B6" s="6">
        <v>1610</v>
      </c>
      <c r="C6" s="5" t="s">
        <v>9</v>
      </c>
      <c r="D6" s="5"/>
      <c r="E6" s="5"/>
      <c r="F6" s="5"/>
      <c r="G6" s="3"/>
    </row>
    <row r="7" spans="1:7">
      <c r="A7" s="3" t="s">
        <v>10</v>
      </c>
      <c r="B7" s="6">
        <v>950</v>
      </c>
      <c r="C7" s="5" t="s">
        <v>11</v>
      </c>
      <c r="D7" s="5"/>
      <c r="E7" s="5"/>
      <c r="F7" s="5"/>
      <c r="G7" s="3"/>
    </row>
    <row r="8" spans="1:7">
      <c r="A8" s="3" t="s">
        <v>12</v>
      </c>
      <c r="B8" s="6">
        <v>850</v>
      </c>
      <c r="C8" s="5" t="s">
        <v>13</v>
      </c>
      <c r="D8" s="5"/>
      <c r="E8" s="5"/>
      <c r="F8" s="5"/>
      <c r="G8" s="3"/>
    </row>
    <row r="9" spans="1:7">
      <c r="A9" s="3" t="s">
        <v>14</v>
      </c>
      <c r="B9" s="6">
        <v>900</v>
      </c>
      <c r="C9" s="5" t="s">
        <v>15</v>
      </c>
      <c r="D9" s="5"/>
      <c r="E9" s="5"/>
      <c r="F9" s="5"/>
      <c r="G9" s="3"/>
    </row>
    <row r="10" spans="1:7">
      <c r="A10" s="3" t="s">
        <v>16</v>
      </c>
      <c r="B10" s="6">
        <v>1000</v>
      </c>
      <c r="C10" s="5" t="s">
        <v>17</v>
      </c>
      <c r="D10" s="5"/>
      <c r="E10" s="5"/>
      <c r="F10" s="5"/>
      <c r="G10" s="3"/>
    </row>
    <row r="11" spans="1:7">
      <c r="A11" s="3" t="s">
        <v>18</v>
      </c>
      <c r="B11" s="6">
        <v>1430</v>
      </c>
      <c r="C11" s="5" t="s">
        <v>19</v>
      </c>
      <c r="D11" s="5"/>
      <c r="E11" s="5"/>
      <c r="F11" s="5"/>
      <c r="G11" s="3"/>
    </row>
    <row r="12" spans="1:7">
      <c r="A12" s="3" t="s">
        <v>20</v>
      </c>
      <c r="B12" s="6">
        <v>1590</v>
      </c>
      <c r="C12" s="5" t="s">
        <v>21</v>
      </c>
      <c r="D12" s="5"/>
      <c r="E12" s="5"/>
      <c r="F12" s="5"/>
      <c r="G12" s="3"/>
    </row>
    <row r="13" spans="1:7">
      <c r="A13" s="3" t="s">
        <v>22</v>
      </c>
      <c r="B13" s="6">
        <v>6678</v>
      </c>
      <c r="C13" s="5" t="s">
        <v>23</v>
      </c>
      <c r="D13" s="5"/>
      <c r="E13" s="5"/>
      <c r="F13" s="5"/>
      <c r="G13" s="3"/>
    </row>
    <row r="14" spans="1:7">
      <c r="A14" s="3" t="s">
        <v>24</v>
      </c>
      <c r="B14" s="6">
        <v>-5</v>
      </c>
      <c r="C14" s="5" t="s">
        <v>25</v>
      </c>
      <c r="D14" s="5"/>
      <c r="E14" s="5"/>
      <c r="F14" s="5"/>
      <c r="G14" s="3"/>
    </row>
    <row r="15" spans="1:7">
      <c r="A15" s="3" t="s">
        <v>26</v>
      </c>
      <c r="B15" s="6">
        <v>1</v>
      </c>
      <c r="C15" s="5" t="s">
        <v>27</v>
      </c>
      <c r="D15" s="5"/>
      <c r="E15" s="5"/>
      <c r="F15" s="5"/>
      <c r="G15" s="3"/>
    </row>
    <row r="16" spans="1:7">
      <c r="A16" s="3" t="s">
        <v>28</v>
      </c>
      <c r="B16" s="6" t="s">
        <v>29</v>
      </c>
      <c r="C16" s="5" t="s">
        <v>30</v>
      </c>
      <c r="D16" s="5"/>
      <c r="E16" s="5"/>
      <c r="F16" s="5"/>
      <c r="G16" s="3"/>
    </row>
    <row r="17" spans="1:7">
      <c r="A17" s="9"/>
      <c r="G17" s="9"/>
    </row>
    <row r="18" spans="1:7">
      <c r="A18" s="2" t="s">
        <v>31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36</v>
      </c>
      <c r="G18" s="2" t="s">
        <v>37</v>
      </c>
    </row>
    <row r="19" ht="28.5" spans="1:7">
      <c r="A19" s="3" t="s">
        <v>38</v>
      </c>
      <c r="B19" s="5" t="s">
        <v>39</v>
      </c>
      <c r="C19" s="10">
        <f>IF(COUNT(B7:B9)=3,IF(B6="",1.05*AVERAGE(B7:B9),MAX(1.05*AVERAGE(B7:B9),1.3*B6)),IF(B6="","—",1.3*B6))</f>
        <v>2093</v>
      </c>
      <c r="D19" s="10" t="s">
        <v>29</v>
      </c>
      <c r="E19" s="5" t="s">
        <v>40</v>
      </c>
      <c r="F19" s="5" t="str">
        <f t="shared" ref="F19:F24" si="0">IF($B$37="","待填",IF(OR(AND(ISNUMBER(C19),$B$37&gt;C19),AND(ISNUMBER(D19),$B$37&lt;D19)),"触发","不触发"))</f>
        <v>触发</v>
      </c>
      <c r="G19" s="3" t="s">
        <v>41</v>
      </c>
    </row>
    <row r="20" spans="1:7">
      <c r="A20" s="3" t="s">
        <v>42</v>
      </c>
      <c r="B20" s="5" t="s">
        <v>43</v>
      </c>
      <c r="C20" s="10">
        <f>IF(B6="","—",4*B6)</f>
        <v>6440</v>
      </c>
      <c r="D20" s="10" t="s">
        <v>29</v>
      </c>
      <c r="E20" s="5" t="s">
        <v>40</v>
      </c>
      <c r="F20" s="5" t="str">
        <f t="shared" si="0"/>
        <v>不触发</v>
      </c>
      <c r="G20" s="3" t="s">
        <v>44</v>
      </c>
    </row>
    <row r="21" spans="1:7">
      <c r="A21" s="3" t="s">
        <v>45</v>
      </c>
      <c r="B21" s="5" t="s">
        <v>46</v>
      </c>
      <c r="C21" s="10">
        <f>IF(B10="","—",1.8*B10)</f>
        <v>1800</v>
      </c>
      <c r="D21" s="10">
        <f>IF(B10="","—",0.5*B10)</f>
        <v>500</v>
      </c>
      <c r="E21" s="5" t="s">
        <v>40</v>
      </c>
      <c r="F21" s="5" t="str">
        <f t="shared" si="0"/>
        <v>触发</v>
      </c>
      <c r="G21" s="3" t="s">
        <v>47</v>
      </c>
    </row>
    <row r="22" spans="1:7">
      <c r="A22" s="3" t="s">
        <v>48</v>
      </c>
      <c r="B22" s="5" t="s">
        <v>49</v>
      </c>
      <c r="C22" s="10">
        <f>IF(B11="","—",B11/0.7)</f>
        <v>2042.85714285714</v>
      </c>
      <c r="D22" s="10">
        <f>IF(B11="","—",B11/1.3)</f>
        <v>1100</v>
      </c>
      <c r="E22" s="5" t="s">
        <v>40</v>
      </c>
      <c r="F22" s="5" t="str">
        <f t="shared" si="0"/>
        <v>触发</v>
      </c>
      <c r="G22" s="3" t="s">
        <v>50</v>
      </c>
    </row>
    <row r="23" spans="1:7">
      <c r="A23" s="3" t="s">
        <v>51</v>
      </c>
      <c r="B23" s="5" t="s">
        <v>52</v>
      </c>
      <c r="C23" s="10">
        <f>IF(B12="","—",1.3*B12)</f>
        <v>2067</v>
      </c>
      <c r="D23" s="10">
        <f>IF(B12="","—",0.3*B12)</f>
        <v>477</v>
      </c>
      <c r="E23" s="5" t="s">
        <v>40</v>
      </c>
      <c r="F23" s="5" t="str">
        <f t="shared" si="0"/>
        <v>触发</v>
      </c>
      <c r="G23" s="3" t="s">
        <v>53</v>
      </c>
    </row>
    <row r="24" ht="42.75" spans="1:7">
      <c r="A24" s="3" t="s">
        <v>54</v>
      </c>
      <c r="B24" s="5" t="s">
        <v>55</v>
      </c>
      <c r="C24" s="10" t="s">
        <v>56</v>
      </c>
      <c r="D24" s="10"/>
      <c r="E24" s="5" t="s">
        <v>40</v>
      </c>
      <c r="F24" s="5" t="str">
        <f>"同步即满足"</f>
        <v>同步即满足</v>
      </c>
      <c r="G24" s="3" t="s">
        <v>57</v>
      </c>
    </row>
    <row r="25" spans="1:7">
      <c r="A25" s="3" t="s">
        <v>58</v>
      </c>
      <c r="B25" s="5" t="s">
        <v>59</v>
      </c>
      <c r="C25" s="10">
        <f>IF(B15&lt;&gt;1,"—",IF(OR(B6="",NOT(ISNUMBER(B14))),"—",(1+B14/100+0.2)*B6))</f>
        <v>1851.5</v>
      </c>
      <c r="D25" s="10">
        <f>IF(B15&lt;&gt;1,"—",IF(OR(B6="",NOT(ISNUMBER(B14))),"—",MAX(0,(1+B14/100-0.2)*B6)))</f>
        <v>1207.5</v>
      </c>
      <c r="E25" s="5" t="s">
        <v>60</v>
      </c>
      <c r="F25" s="5" t="str">
        <f>IF($B$37="","待填",IF(ISNUMBER(C25),IF(OR($B$37&gt;C25,$B$37&lt;D25),"触发","不触发"),"不适用"))</f>
        <v>触发</v>
      </c>
      <c r="G25" s="3" t="s">
        <v>61</v>
      </c>
    </row>
    <row r="26" spans="1:7">
      <c r="A26" s="3" t="s">
        <v>62</v>
      </c>
      <c r="B26" s="5" t="s">
        <v>63</v>
      </c>
      <c r="C26" s="10" t="str">
        <f>IF(B16="","未知",B16)</f>
        <v>未知</v>
      </c>
      <c r="D26" s="10"/>
      <c r="E26" s="5" t="s">
        <v>60</v>
      </c>
      <c r="F26" s="5" t="str">
        <f>IF($B$37="","待填",IF(ISNUMBER(C26),IF($B$37&gt;C26,"触发","不触发"),"待定"))</f>
        <v>待定</v>
      </c>
      <c r="G26" s="3" t="s">
        <v>64</v>
      </c>
    </row>
    <row r="27" ht="28.5" spans="1:7">
      <c r="A27" s="3" t="s">
        <v>65</v>
      </c>
      <c r="B27" s="5" t="s">
        <v>66</v>
      </c>
      <c r="C27" s="10" t="s">
        <v>56</v>
      </c>
      <c r="D27" s="10" t="s">
        <v>56</v>
      </c>
      <c r="E27" s="5" t="s">
        <v>67</v>
      </c>
      <c r="F27" s="5" t="s">
        <v>56</v>
      </c>
      <c r="G27" s="3" t="s">
        <v>68</v>
      </c>
    </row>
    <row r="28" spans="1:7">
      <c r="A28" s="9"/>
      <c r="G28" s="9"/>
    </row>
    <row r="29" spans="1:7">
      <c r="A29" s="11" t="s">
        <v>69</v>
      </c>
      <c r="B29" s="5"/>
      <c r="G29" s="9"/>
    </row>
    <row r="30" spans="1:7">
      <c r="A30" s="3" t="s">
        <v>70</v>
      </c>
      <c r="B30" s="10">
        <f>MAX(D19:D27)</f>
        <v>1207.5</v>
      </c>
      <c r="C30" t="s">
        <v>29</v>
      </c>
      <c r="D30" t="s">
        <v>71</v>
      </c>
      <c r="G30" s="9"/>
    </row>
    <row r="31" spans="1:7">
      <c r="A31" s="3" t="s">
        <v>72</v>
      </c>
      <c r="B31" s="10">
        <f>MIN(C19:C27,B47)</f>
        <v>1800</v>
      </c>
      <c r="C31" t="s">
        <v>29</v>
      </c>
      <c r="D31" t="s">
        <v>73</v>
      </c>
      <c r="G31" s="9"/>
    </row>
    <row r="32" spans="1:7">
      <c r="A32" s="3" t="s">
        <v>74</v>
      </c>
      <c r="B32" s="5" t="str">
        <f>IF(B30&gt;B31,"约束冲突（下限&gt;上限，按当前数据无法全部满足）","["&amp;TEXT(B30,"0.0")&amp;"，"&amp;TEXT(B31,"0.0")&amp;"]")</f>
        <v>[1207.5，1800.0]</v>
      </c>
      <c r="C32" t="s">
        <v>29</v>
      </c>
      <c r="D32" t="s">
        <v>75</v>
      </c>
      <c r="G32" s="9"/>
    </row>
    <row r="33" spans="1:7">
      <c r="A33" s="3" t="s">
        <v>76</v>
      </c>
      <c r="B33" s="5" t="str">
        <f>IF(MAX(D19:D23,D25:D27)&gt;MIN(C19:C23,C25:C27,B47,B49),"约束冲突（下限&gt;上限，见明细）","["&amp;TEXT(MAX(D19:D23,D25:D27),"0.0")&amp;"，"&amp;TEXT(MIN(C19:C23,C25:C27,B47,B49),"0.0")&amp;"]")</f>
        <v>[1207.5，1800.0]</v>
      </c>
      <c r="C33" t="s">
        <v>29</v>
      </c>
      <c r="D33" t="s">
        <v>77</v>
      </c>
      <c r="G33" s="9"/>
    </row>
    <row r="34" spans="7:7">
      <c r="G34" s="9"/>
    </row>
    <row r="35" spans="1:7">
      <c r="A35" s="12" t="s">
        <v>78</v>
      </c>
      <c r="B35">
        <v>2430</v>
      </c>
      <c r="C35" t="s">
        <v>29</v>
      </c>
      <c r="D35" t="s">
        <v>79</v>
      </c>
      <c r="G35" s="9"/>
    </row>
    <row r="36" spans="1:7">
      <c r="A36" t="s">
        <v>80</v>
      </c>
      <c r="B36" t="str">
        <f>IF(B37="","请填写拟报数或本期月产值后查看结论",IF(B37&gt;B31,"超出保守区间上限：将触发说明/解锁（见F列）",IF(B37&lt;B30,"低于保守区间下限：将触发说明（见F列）","在保守区间内（F列其余条款应不触发）")))</f>
        <v>超出保守区间上限：将触发说明/解锁（见F列）</v>
      </c>
      <c r="C36" t="s">
        <v>29</v>
      </c>
      <c r="D36" t="s">
        <v>29</v>
      </c>
      <c r="G36" s="9"/>
    </row>
    <row r="37" ht="28.5" spans="1:7">
      <c r="A37" s="3" t="s">
        <v>81</v>
      </c>
      <c r="B37" s="10">
        <f>IF(B35="",IF(B5="","",B5),B35)</f>
        <v>2430</v>
      </c>
      <c r="G37" s="9"/>
    </row>
    <row r="38" spans="1:7">
      <c r="A38" s="12" t="s">
        <v>82</v>
      </c>
      <c r="G38" s="9"/>
    </row>
    <row r="39" spans="1:7">
      <c r="A39" t="s">
        <v>83</v>
      </c>
      <c r="G39" s="9"/>
    </row>
    <row r="40" spans="1:7">
      <c r="A40" t="s">
        <v>84</v>
      </c>
      <c r="G40" s="9"/>
    </row>
    <row r="41" spans="1:7">
      <c r="A41" t="s">
        <v>85</v>
      </c>
      <c r="G41" s="9"/>
    </row>
    <row r="42" spans="1:7">
      <c r="A42" t="s">
        <v>86</v>
      </c>
      <c r="G42" s="9"/>
    </row>
    <row r="43" spans="7:7">
      <c r="G43" s="9"/>
    </row>
    <row r="44" spans="1:7">
      <c r="A44" s="13" t="s">
        <v>87</v>
      </c>
      <c r="B44" s="5"/>
      <c r="G44" s="9"/>
    </row>
    <row r="45" spans="1:7">
      <c r="A45" s="3" t="s">
        <v>88</v>
      </c>
      <c r="B45" s="6">
        <v>8108</v>
      </c>
      <c r="C45" t="s">
        <v>89</v>
      </c>
      <c r="G45" s="9"/>
    </row>
    <row r="46" spans="1:7">
      <c r="A46" s="3" t="s">
        <v>90</v>
      </c>
      <c r="B46" s="6">
        <v>9630</v>
      </c>
      <c r="C46" t="s">
        <v>91</v>
      </c>
      <c r="G46" s="9"/>
    </row>
    <row r="47" spans="1:2">
      <c r="A47" s="3" t="s">
        <v>92</v>
      </c>
      <c r="B47" s="10">
        <f>IF(B6="","—",B6/0.7)</f>
        <v>2300</v>
      </c>
    </row>
    <row r="48" spans="1:2">
      <c r="A48" s="3" t="s">
        <v>93</v>
      </c>
      <c r="B48" s="10">
        <f>IF(B46="","—",B46/0.7)</f>
        <v>13757.1428571429</v>
      </c>
    </row>
    <row r="49" ht="28.5" spans="1:2">
      <c r="A49" s="3" t="s">
        <v>94</v>
      </c>
      <c r="B49" s="10">
        <f>IF(OR(B46="",B13=""),"—",B46/0.7-B13)</f>
        <v>7079.14285714286</v>
      </c>
    </row>
    <row r="50" ht="42.75" spans="1:2">
      <c r="A50" s="3" t="s">
        <v>95</v>
      </c>
      <c r="B50" s="5"/>
    </row>
    <row r="51" spans="1:2">
      <c r="A51" s="3" t="s">
        <v>96</v>
      </c>
      <c r="B51" s="10">
        <f>IF(OR(B13="",B35=""),"—",B13+B35)</f>
        <v>9108</v>
      </c>
    </row>
    <row r="52" spans="1:2">
      <c r="A52" s="3" t="s">
        <v>97</v>
      </c>
      <c r="B52" s="14">
        <f>IF(OR(NOT(ISNUMBER(B51)),B46=""),"—",(B51/B46-1)*100)</f>
        <v>-5.42056074766355</v>
      </c>
    </row>
    <row r="53" ht="28.5" spans="1:2">
      <c r="A53" s="3" t="s">
        <v>98</v>
      </c>
      <c r="B53" s="5" t="str">
        <f>IF(OR(B45="",B13="",B5=""),"—",IF(ABS(B45-B13-B5)&lt;=0.05*B5,"衔接正常","差"&amp;TEXT(B45-B13-B5,"0.0")))</f>
        <v>衔接正常</v>
      </c>
    </row>
    <row r="54" ht="28.5" spans="1:2">
      <c r="A54" s="3" t="s">
        <v>99</v>
      </c>
      <c r="B54" s="5"/>
    </row>
  </sheetData>
  <mergeCells count="1">
    <mergeCell ref="B36:G36"/>
  </mergeCells>
  <conditionalFormatting sqref="F19:F26">
    <cfRule type="cellIs" dxfId="0" priority="1" operator="equal">
      <formula>"触发"</formula>
    </cfRule>
    <cfRule type="cellIs" dxfId="1" priority="2" operator="equal">
      <formula>"不触发"</formula>
    </cfRule>
    <cfRule type="cellIs" dxfId="2" priority="3" operator="equal">
      <formula>"待定"</formula>
    </cfRule>
    <cfRule type="cellIs" dxfId="3" priority="4" operator="equal">
      <formula>"不适用"</formula>
    </cfRule>
  </conditionalFormatting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C825A"/>
  </sheetPr>
  <dimension ref="A1:E21"/>
  <sheetViews>
    <sheetView tabSelected="1" workbookViewId="0">
      <selection activeCell="A1" sqref="A1"/>
    </sheetView>
  </sheetViews>
  <sheetFormatPr defaultColWidth="9" defaultRowHeight="14.25" outlineLevelCol="4"/>
  <cols>
    <col min="1" max="1" width="26.625" customWidth="1"/>
    <col min="2" max="2" width="13.625" customWidth="1"/>
    <col min="3" max="3" width="22.625" customWidth="1"/>
    <col min="4" max="4" width="30.625" customWidth="1"/>
    <col min="5" max="5" width="42.625" customWidth="1"/>
  </cols>
  <sheetData>
    <row r="1" ht="18.75" spans="1:1">
      <c r="A1" s="1" t="s">
        <v>100</v>
      </c>
    </row>
    <row r="2" spans="1:1">
      <c r="A2" t="s">
        <v>101</v>
      </c>
    </row>
    <row r="4" spans="1:3">
      <c r="A4" s="4" t="s">
        <v>3</v>
      </c>
      <c r="B4" s="4" t="s">
        <v>4</v>
      </c>
      <c r="C4" s="4" t="s">
        <v>102</v>
      </c>
    </row>
    <row r="5" spans="1:3">
      <c r="A5" s="5" t="s">
        <v>103</v>
      </c>
      <c r="B5" s="6">
        <v>1</v>
      </c>
      <c r="C5" s="5"/>
    </row>
    <row r="6" spans="1:3">
      <c r="A6" s="5" t="s">
        <v>104</v>
      </c>
      <c r="B6" s="6">
        <v>5000</v>
      </c>
      <c r="C6" s="5" t="s">
        <v>105</v>
      </c>
    </row>
    <row r="7" spans="1:3">
      <c r="A7" s="5" t="s">
        <v>106</v>
      </c>
      <c r="B7" s="6">
        <v>46000</v>
      </c>
      <c r="C7" s="5" t="s">
        <v>107</v>
      </c>
    </row>
    <row r="8" spans="1:3">
      <c r="A8" s="5" t="s">
        <v>108</v>
      </c>
      <c r="B8" s="6">
        <v>5200</v>
      </c>
      <c r="C8" s="5" t="s">
        <v>21</v>
      </c>
    </row>
    <row r="9" spans="1:3">
      <c r="A9" s="5" t="s">
        <v>109</v>
      </c>
      <c r="B9" s="6">
        <v>41000</v>
      </c>
      <c r="C9" s="5" t="s">
        <v>110</v>
      </c>
    </row>
    <row r="11" spans="1:5">
      <c r="A11" s="2" t="s">
        <v>111</v>
      </c>
      <c r="B11" s="2" t="s">
        <v>32</v>
      </c>
      <c r="C11" s="2" t="s">
        <v>112</v>
      </c>
      <c r="D11" s="2" t="s">
        <v>113</v>
      </c>
      <c r="E11" s="2" t="s">
        <v>114</v>
      </c>
    </row>
    <row r="12" ht="28.5" spans="1:5">
      <c r="A12" s="3" t="s">
        <v>115</v>
      </c>
      <c r="B12" s="3" t="s">
        <v>116</v>
      </c>
      <c r="C12" s="3" t="str">
        <f>IF(B5&lt;&gt;1,"不适用",IF(OR(B6="",B8=""),"待填",IF(B8&lt;=0,"待定",IF(OR(B6/(B8+0.01)*100-100&gt;30,B6/(B8+0.01)*100-100&lt;-70),"将触发","不触发"))))</f>
        <v>不触发</v>
      </c>
      <c r="D12" s="3" t="str">
        <f>IF(OR(B6="",B8=""),"—",IF(B8&lt;=0,"同期为0","同比="&amp;TEXT((B6/(B8+0.01)-1)*100,"0.0")&amp;"%"))</f>
        <v>同比=-3.8%</v>
      </c>
      <c r="E12" s="3" t="s">
        <v>117</v>
      </c>
    </row>
    <row r="13" spans="1:5">
      <c r="A13" s="3" t="s">
        <v>118</v>
      </c>
      <c r="B13" s="3" t="s">
        <v>119</v>
      </c>
      <c r="C13" s="3" t="str">
        <f>IF(B5&lt;&gt;1,"不适用",IF(OR(B6="",B7="",B9=""),"待填",IF(ABS(B7-B6-B9)&lt;=0.08*B6,"不触发","将触发")))</f>
        <v>不触发</v>
      </c>
      <c r="D13" s="3" t="str">
        <f>IF(OR(B6="",B7="",B9=""),"—","累计-本月-上月累计="&amp;TEXT(B7-B6-B9,"0.0"))</f>
        <v>累计-本月-上月累计=0.0</v>
      </c>
      <c r="E13" s="3" t="s">
        <v>120</v>
      </c>
    </row>
    <row r="14" spans="1:5">
      <c r="A14" s="3" t="s">
        <v>121</v>
      </c>
      <c r="B14" s="3" t="s">
        <v>122</v>
      </c>
      <c r="C14" s="3" t="str">
        <f>IF(B5&lt;&gt;1,"不适用",IF(OR(B6="",B7=""),"待填",IF(B7&gt;=B6,"不触发","将触发")))</f>
        <v>不触发</v>
      </c>
      <c r="D14" s="3" t="str">
        <f>IF(OR(B6="",B7=""),"—","累计-当月="&amp;TEXT(B7-B6,"0.0"))</f>
        <v>累计-当月=41000.0</v>
      </c>
      <c r="E14" s="3" t="s">
        <v>123</v>
      </c>
    </row>
    <row r="15" spans="1:5">
      <c r="A15" s="3" t="s">
        <v>124</v>
      </c>
      <c r="B15" s="3" t="s">
        <v>125</v>
      </c>
      <c r="C15" s="3" t="str">
        <f>IF(B5&lt;&gt;1,"不适用",IF(OR(B6="",B7=""),"待填",IF(AND(B6&gt;0,B6=B7),"将触发","不触发")))</f>
        <v>不触发</v>
      </c>
      <c r="D15" s="3" t="str">
        <f>IF(OR(B6="",B7=""),"—","本月="&amp;TEXT(B6,"0")&amp;"，累计="&amp;TEXT(B7,"0"))</f>
        <v>本月=5000，累计=46000</v>
      </c>
      <c r="E15" s="3" t="s">
        <v>126</v>
      </c>
    </row>
    <row r="16" spans="1:5">
      <c r="A16" s="3" t="s">
        <v>127</v>
      </c>
      <c r="B16" s="3" t="s">
        <v>128</v>
      </c>
      <c r="C16" s="3" t="str">
        <f>IF(B5&lt;&gt;1,"不适用",IF(OR(B7="",B9=""),"待填",IF(B7&gt;=B9,"不触发","将触发")))</f>
        <v>不触发</v>
      </c>
      <c r="D16" s="3" t="str">
        <f>IF(OR(B7="",B9=""),"—","累计-上期="&amp;TEXT(B7-B9,"0.0"))</f>
        <v>累计-上期=5000.0</v>
      </c>
      <c r="E16" s="3" t="s">
        <v>129</v>
      </c>
    </row>
    <row r="17" spans="1:5">
      <c r="A17" s="3" t="s">
        <v>130</v>
      </c>
      <c r="B17" s="3" t="s">
        <v>131</v>
      </c>
      <c r="C17" s="3" t="str">
        <f>IF(B5&lt;&gt;1,"不适用",IF(OR(B6="",区间测算器!B5=""),"待填",IF(AND(B6&gt;0,B6=区间测算器!B5),"将触发","不触发")))</f>
        <v>不触发</v>
      </c>
      <c r="D17" s="3" t="str">
        <f>IF(OR(B6="",区间测算器!B5=""),"—","产品="&amp;TEXT(B6,"0")&amp;"，产值="&amp;TEXT(区间测算器!B5,"0"))</f>
        <v>产品=5000，产值=1430</v>
      </c>
      <c r="E17" s="3" t="s">
        <v>132</v>
      </c>
    </row>
    <row r="19" spans="1:3">
      <c r="A19" t="s">
        <v>133</v>
      </c>
      <c r="C19" t="s">
        <v>134</v>
      </c>
    </row>
    <row r="21" spans="1:1">
      <c r="A21" t="s">
        <v>135</v>
      </c>
    </row>
  </sheetData>
  <conditionalFormatting sqref="C12:C17">
    <cfRule type="cellIs" dxfId="0" priority="1" operator="equal">
      <formula>"将触发"</formula>
    </cfRule>
    <cfRule type="cellIs" dxfId="1" priority="2" operator="equal">
      <formula>"不触发"</formula>
    </cfRule>
    <cfRule type="cellIs" dxfId="3" priority="3" operator="equal">
      <formula>"不适用"</formula>
    </cfRule>
    <cfRule type="cellIs" dxfId="4" priority="4" operator="equal">
      <formula>"待填"</formula>
    </cfRule>
    <cfRule type="cellIs" dxfId="4" priority="5" operator="equal">
      <formula>"待定"</formula>
    </cfRule>
  </conditionalFormatting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selection activeCell="A1" sqref="A1"/>
    </sheetView>
  </sheetViews>
  <sheetFormatPr defaultColWidth="9" defaultRowHeight="14.25" outlineLevelCol="7"/>
  <cols>
    <col min="1" max="1" width="5.83333333333333" customWidth="1"/>
    <col min="2" max="2" width="18.8333333333333" customWidth="1"/>
    <col min="3" max="3" width="36.8333333333333" customWidth="1"/>
    <col min="4" max="4" width="28.8333333333333" customWidth="1"/>
    <col min="5" max="5" width="26.8333333333333" customWidth="1"/>
    <col min="6" max="6" width="9.83333333333333" customWidth="1"/>
    <col min="7" max="7" width="26.8333333333333" customWidth="1"/>
    <col min="8" max="8" width="18.8333333333333" customWidth="1"/>
  </cols>
  <sheetData>
    <row r="1" ht="18.75" spans="1:1">
      <c r="A1" s="1" t="s">
        <v>136</v>
      </c>
    </row>
    <row r="2" spans="1:1">
      <c r="A2" t="s">
        <v>137</v>
      </c>
    </row>
    <row r="4" spans="1:8">
      <c r="A4" s="2" t="s">
        <v>138</v>
      </c>
      <c r="B4" s="2" t="s">
        <v>139</v>
      </c>
      <c r="C4" s="2" t="s">
        <v>140</v>
      </c>
      <c r="D4" s="2" t="s">
        <v>141</v>
      </c>
      <c r="E4" s="2" t="s">
        <v>142</v>
      </c>
      <c r="F4" s="2" t="s">
        <v>35</v>
      </c>
      <c r="G4" s="2" t="s">
        <v>114</v>
      </c>
      <c r="H4" s="2" t="s">
        <v>32</v>
      </c>
    </row>
    <row r="5" ht="28.5" spans="1:8">
      <c r="A5" s="3">
        <v>1</v>
      </c>
      <c r="B5" s="3" t="s">
        <v>143</v>
      </c>
      <c r="C5" s="3" t="s">
        <v>144</v>
      </c>
      <c r="D5" s="3" t="s">
        <v>145</v>
      </c>
      <c r="E5" s="3" t="s">
        <v>146</v>
      </c>
      <c r="F5" s="3" t="s">
        <v>147</v>
      </c>
      <c r="G5" s="3" t="s">
        <v>148</v>
      </c>
      <c r="H5" s="3" t="s">
        <v>149</v>
      </c>
    </row>
    <row r="6" ht="28.5" spans="1:8">
      <c r="A6" s="3">
        <v>2</v>
      </c>
      <c r="B6" s="3" t="s">
        <v>150</v>
      </c>
      <c r="C6" s="3" t="s">
        <v>151</v>
      </c>
      <c r="D6" s="3" t="s">
        <v>145</v>
      </c>
      <c r="E6" s="3" t="s">
        <v>152</v>
      </c>
      <c r="F6" s="3" t="s">
        <v>147</v>
      </c>
      <c r="G6" s="3" t="s">
        <v>153</v>
      </c>
      <c r="H6" s="3" t="s">
        <v>154</v>
      </c>
    </row>
    <row r="7" ht="28.5" spans="1:8">
      <c r="A7" s="3">
        <v>3</v>
      </c>
      <c r="B7" s="3" t="s">
        <v>155</v>
      </c>
      <c r="C7" s="3" t="s">
        <v>156</v>
      </c>
      <c r="D7" s="3" t="s">
        <v>157</v>
      </c>
      <c r="E7" s="3" t="s">
        <v>158</v>
      </c>
      <c r="F7" s="3" t="s">
        <v>159</v>
      </c>
      <c r="G7" s="3" t="s">
        <v>160</v>
      </c>
      <c r="H7" s="3" t="s">
        <v>161</v>
      </c>
    </row>
    <row r="8" ht="28.5" spans="1:8">
      <c r="A8" s="3">
        <v>4</v>
      </c>
      <c r="B8" s="3" t="s">
        <v>162</v>
      </c>
      <c r="C8" s="3" t="s">
        <v>163</v>
      </c>
      <c r="D8" s="3" t="s">
        <v>164</v>
      </c>
      <c r="E8" s="3" t="s">
        <v>165</v>
      </c>
      <c r="F8" s="3" t="s">
        <v>159</v>
      </c>
      <c r="G8" s="3" t="s">
        <v>160</v>
      </c>
      <c r="H8" s="3" t="s">
        <v>39</v>
      </c>
    </row>
    <row r="9" spans="1:8">
      <c r="A9" s="3">
        <v>5</v>
      </c>
      <c r="B9" s="3" t="s">
        <v>166</v>
      </c>
      <c r="C9" s="3" t="s">
        <v>167</v>
      </c>
      <c r="D9" s="3" t="s">
        <v>164</v>
      </c>
      <c r="E9" s="3" t="s">
        <v>168</v>
      </c>
      <c r="F9" s="3" t="s">
        <v>159</v>
      </c>
      <c r="G9" s="3" t="s">
        <v>160</v>
      </c>
      <c r="H9" s="3" t="s">
        <v>43</v>
      </c>
    </row>
    <row r="10" spans="1:8">
      <c r="A10" s="3">
        <v>6</v>
      </c>
      <c r="B10" s="3" t="s">
        <v>169</v>
      </c>
      <c r="C10" s="3" t="s">
        <v>170</v>
      </c>
      <c r="D10" s="3" t="s">
        <v>171</v>
      </c>
      <c r="E10" s="3" t="s">
        <v>172</v>
      </c>
      <c r="F10" s="3" t="s">
        <v>159</v>
      </c>
      <c r="G10" s="3" t="s">
        <v>160</v>
      </c>
      <c r="H10" s="3" t="s">
        <v>173</v>
      </c>
    </row>
    <row r="11" spans="1:8">
      <c r="A11" s="3">
        <v>7</v>
      </c>
      <c r="B11" s="3" t="s">
        <v>174</v>
      </c>
      <c r="C11" s="3" t="s">
        <v>170</v>
      </c>
      <c r="D11" s="3" t="s">
        <v>171</v>
      </c>
      <c r="E11" s="3" t="s">
        <v>175</v>
      </c>
      <c r="F11" s="3" t="s">
        <v>159</v>
      </c>
      <c r="G11" s="3" t="s">
        <v>160</v>
      </c>
      <c r="H11" s="3" t="s">
        <v>176</v>
      </c>
    </row>
    <row r="12" spans="1:8">
      <c r="A12" s="3">
        <v>8</v>
      </c>
      <c r="B12" s="3" t="s">
        <v>45</v>
      </c>
      <c r="C12" s="3" t="s">
        <v>177</v>
      </c>
      <c r="D12" s="3" t="s">
        <v>178</v>
      </c>
      <c r="E12" s="3" t="s">
        <v>179</v>
      </c>
      <c r="F12" s="3" t="s">
        <v>159</v>
      </c>
      <c r="G12" s="3" t="s">
        <v>160</v>
      </c>
      <c r="H12" s="3" t="s">
        <v>180</v>
      </c>
    </row>
    <row r="13" ht="28.5" spans="1:8">
      <c r="A13" s="3">
        <v>9</v>
      </c>
      <c r="B13" s="3" t="s">
        <v>181</v>
      </c>
      <c r="C13" s="3" t="s">
        <v>182</v>
      </c>
      <c r="D13" s="3" t="s">
        <v>145</v>
      </c>
      <c r="E13" s="3" t="s">
        <v>183</v>
      </c>
      <c r="F13" s="3" t="s">
        <v>159</v>
      </c>
      <c r="G13" s="3" t="s">
        <v>160</v>
      </c>
      <c r="H13" s="3" t="s">
        <v>184</v>
      </c>
    </row>
    <row r="14" spans="1:8">
      <c r="A14" s="3">
        <v>10</v>
      </c>
      <c r="B14" s="3" t="s">
        <v>185</v>
      </c>
      <c r="C14" s="3" t="s">
        <v>164</v>
      </c>
      <c r="D14" s="3" t="s">
        <v>186</v>
      </c>
      <c r="E14" s="3" t="s">
        <v>187</v>
      </c>
      <c r="F14" s="3" t="s">
        <v>159</v>
      </c>
      <c r="G14" s="3" t="s">
        <v>160</v>
      </c>
      <c r="H14" s="3" t="s">
        <v>188</v>
      </c>
    </row>
    <row r="15" spans="1:8">
      <c r="A15" s="3">
        <v>11</v>
      </c>
      <c r="B15" s="3" t="s">
        <v>189</v>
      </c>
      <c r="C15" s="3" t="s">
        <v>164</v>
      </c>
      <c r="D15" s="3" t="s">
        <v>190</v>
      </c>
      <c r="E15" s="3" t="s">
        <v>191</v>
      </c>
      <c r="F15" s="3" t="s">
        <v>192</v>
      </c>
      <c r="G15" s="3" t="s">
        <v>193</v>
      </c>
      <c r="H15" s="3" t="s">
        <v>194</v>
      </c>
    </row>
    <row r="16" ht="28.5" spans="1:8">
      <c r="A16" s="3">
        <v>12</v>
      </c>
      <c r="B16" s="3" t="s">
        <v>62</v>
      </c>
      <c r="C16" s="3" t="s">
        <v>195</v>
      </c>
      <c r="D16" s="3" t="s">
        <v>196</v>
      </c>
      <c r="E16" s="3" t="s">
        <v>197</v>
      </c>
      <c r="F16" s="3" t="s">
        <v>192</v>
      </c>
      <c r="G16" s="3" t="s">
        <v>198</v>
      </c>
      <c r="H16" s="3" t="s">
        <v>199</v>
      </c>
    </row>
    <row r="17" spans="1:8">
      <c r="A17" s="3">
        <v>13</v>
      </c>
      <c r="B17" s="3" t="s">
        <v>200</v>
      </c>
      <c r="C17" s="3" t="s">
        <v>201</v>
      </c>
      <c r="D17" s="3" t="s">
        <v>145</v>
      </c>
      <c r="E17" s="3" t="s">
        <v>202</v>
      </c>
      <c r="F17" s="3" t="s">
        <v>203</v>
      </c>
      <c r="G17" s="3" t="s">
        <v>204</v>
      </c>
      <c r="H17" s="3" t="s">
        <v>205</v>
      </c>
    </row>
    <row r="18" spans="1:8">
      <c r="A18" s="3">
        <v>14</v>
      </c>
      <c r="B18" s="3" t="s">
        <v>206</v>
      </c>
      <c r="C18" s="3" t="s">
        <v>207</v>
      </c>
      <c r="D18" s="3" t="s">
        <v>208</v>
      </c>
      <c r="E18" s="3" t="s">
        <v>209</v>
      </c>
      <c r="F18" s="3" t="s">
        <v>192</v>
      </c>
      <c r="G18" s="3" t="s">
        <v>210</v>
      </c>
      <c r="H18" s="3" t="s">
        <v>211</v>
      </c>
    </row>
    <row r="19" spans="1:8">
      <c r="A19" s="3">
        <v>15</v>
      </c>
      <c r="B19" s="3" t="s">
        <v>212</v>
      </c>
      <c r="C19" s="3" t="s">
        <v>213</v>
      </c>
      <c r="D19" s="3" t="s">
        <v>145</v>
      </c>
      <c r="E19" s="3" t="s">
        <v>56</v>
      </c>
      <c r="F19" s="3" t="s">
        <v>192</v>
      </c>
      <c r="G19" s="3" t="s">
        <v>214</v>
      </c>
      <c r="H19" s="3" t="s">
        <v>215</v>
      </c>
    </row>
    <row r="20" ht="28.5" spans="1:8">
      <c r="A20" s="3">
        <v>16</v>
      </c>
      <c r="B20" s="3" t="s">
        <v>216</v>
      </c>
      <c r="C20" s="3" t="s">
        <v>217</v>
      </c>
      <c r="D20" s="3" t="s">
        <v>218</v>
      </c>
      <c r="E20" s="3" t="s">
        <v>219</v>
      </c>
      <c r="F20" s="3" t="s">
        <v>192</v>
      </c>
      <c r="G20" s="3" t="s">
        <v>220</v>
      </c>
      <c r="H20" s="3" t="s">
        <v>221</v>
      </c>
    </row>
    <row r="21" spans="1:8">
      <c r="A21" s="3">
        <v>17</v>
      </c>
      <c r="B21" s="3" t="s">
        <v>222</v>
      </c>
      <c r="C21" s="3" t="s">
        <v>170</v>
      </c>
      <c r="D21" s="3" t="s">
        <v>171</v>
      </c>
      <c r="E21" s="3" t="s">
        <v>223</v>
      </c>
      <c r="F21" s="3" t="s">
        <v>159</v>
      </c>
      <c r="G21" s="3" t="s">
        <v>160</v>
      </c>
      <c r="H21" s="3" t="s">
        <v>224</v>
      </c>
    </row>
    <row r="22" ht="42.75" spans="1:8">
      <c r="A22" s="3">
        <v>18</v>
      </c>
      <c r="B22" s="3" t="s">
        <v>225</v>
      </c>
      <c r="C22" s="3" t="s">
        <v>226</v>
      </c>
      <c r="D22" s="3" t="s">
        <v>227</v>
      </c>
      <c r="E22" s="3" t="s">
        <v>228</v>
      </c>
      <c r="F22" s="3" t="s">
        <v>159</v>
      </c>
      <c r="G22" s="3" t="s">
        <v>160</v>
      </c>
      <c r="H22" s="3" t="s">
        <v>229</v>
      </c>
    </row>
    <row r="23" ht="28.5" spans="1:8">
      <c r="A23" s="3">
        <v>19</v>
      </c>
      <c r="B23" s="3" t="s">
        <v>230</v>
      </c>
      <c r="C23" s="3" t="s">
        <v>231</v>
      </c>
      <c r="D23" s="3" t="s">
        <v>145</v>
      </c>
      <c r="E23" s="3" t="s">
        <v>56</v>
      </c>
      <c r="F23" s="3" t="s">
        <v>56</v>
      </c>
      <c r="G23" s="3" t="s">
        <v>232</v>
      </c>
      <c r="H23" s="3" t="s">
        <v>56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A1" sqref="A1"/>
    </sheetView>
  </sheetViews>
  <sheetFormatPr defaultColWidth="9" defaultRowHeight="14.25"/>
  <cols>
    <col min="1" max="1" width="100.833333333333" customWidth="1"/>
  </cols>
  <sheetData>
    <row r="1" ht="18.75" spans="1:1">
      <c r="A1" s="1" t="s">
        <v>233</v>
      </c>
    </row>
    <row r="3" spans="1:1">
      <c r="A3" t="s">
        <v>234</v>
      </c>
    </row>
    <row r="4" spans="1:1">
      <c r="A4" t="s">
        <v>235</v>
      </c>
    </row>
    <row r="6" spans="1:1">
      <c r="A6" t="s">
        <v>236</v>
      </c>
    </row>
    <row r="7" spans="1:1">
      <c r="A7" t="s">
        <v>237</v>
      </c>
    </row>
    <row r="8" spans="1:1">
      <c r="A8" t="s">
        <v>238</v>
      </c>
    </row>
    <row r="9" spans="1:1">
      <c r="A9" t="s">
        <v>239</v>
      </c>
    </row>
    <row r="11" spans="1:1">
      <c r="A11" t="s">
        <v>240</v>
      </c>
    </row>
    <row r="12" spans="1:1">
      <c r="A12" t="s">
        <v>241</v>
      </c>
    </row>
    <row r="13" spans="1:1">
      <c r="A13" t="s">
        <v>242</v>
      </c>
    </row>
    <row r="14" spans="1:1">
      <c r="A14" t="s">
        <v>243</v>
      </c>
    </row>
    <row r="16" spans="1:1">
      <c r="A16" t="s">
        <v>244</v>
      </c>
    </row>
    <row r="17" spans="1:1">
      <c r="A17" t="s">
        <v>245</v>
      </c>
    </row>
    <row r="18" spans="1:1">
      <c r="A18" t="s">
        <v>246</v>
      </c>
    </row>
    <row r="19" spans="1:1">
      <c r="A19" t="s">
        <v>247</v>
      </c>
    </row>
    <row r="20" spans="1:1">
      <c r="A20" t="s">
        <v>248</v>
      </c>
    </row>
    <row r="21" spans="1:1">
      <c r="A21" t="s">
        <v>249</v>
      </c>
    </row>
    <row r="22" spans="1:1">
      <c r="A22" t="s">
        <v>250</v>
      </c>
    </row>
    <row r="24" spans="1:1">
      <c r="A24" t="s">
        <v>251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区间测算器</vt:lpstr>
      <vt:lpstr>产品产量检查</vt:lpstr>
      <vt:lpstr>阈值字典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2026-10-08T06:08:00Z</dcterms:created>
  <dcterms:modified xsi:type="dcterms:W3CDTF">2026-10-08T07:15:44Z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2052-10.1.0.6876</vt:lpwstr>
  </property>
</Properties>
</file>